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40184c7d8b24986e/Dokumen/"/>
    </mc:Choice>
  </mc:AlternateContent>
  <xr:revisionPtr revIDLastSave="168" documentId="8_{B75C97AA-854D-48A9-AA01-1FF6F61AB499}" xr6:coauthVersionLast="47" xr6:coauthVersionMax="47" xr10:uidLastSave="{B84C1579-81E9-4250-B5BE-B35D407C8981}"/>
  <bookViews>
    <workbookView minimized="1" xWindow="1070" yWindow="2810" windowWidth="9660" windowHeight="7270" activeTab="2" xr2:uid="{1459E0D3-69B8-474B-8ACC-237B0AFEB5CE}"/>
  </bookViews>
  <sheets>
    <sheet name="Raw Data" sheetId="1" r:id="rId1"/>
    <sheet name="Analysis" sheetId="2" r:id="rId2"/>
    <sheet name="Dashboard" sheetId="3" r:id="rId3"/>
  </sheets>
  <definedNames>
    <definedName name="Slicer_Category">#N/A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I2" i="1" l="1"/>
</calcChain>
</file>

<file path=xl/sharedStrings.xml><?xml version="1.0" encoding="utf-8"?>
<sst xmlns="http://schemas.openxmlformats.org/spreadsheetml/2006/main" count="115" uniqueCount="33">
  <si>
    <t>Order ID</t>
  </si>
  <si>
    <t>Order Date</t>
  </si>
  <si>
    <t>Customer</t>
  </si>
  <si>
    <t>State</t>
  </si>
  <si>
    <t>Category</t>
  </si>
  <si>
    <t>Product</t>
  </si>
  <si>
    <t>Quantity</t>
  </si>
  <si>
    <t>Unit Price</t>
  </si>
  <si>
    <t>Sales</t>
  </si>
  <si>
    <t>Emma Smith</t>
  </si>
  <si>
    <t>NSW</t>
  </si>
  <si>
    <t>Electronics</t>
  </si>
  <si>
    <t>Laptop</t>
  </si>
  <si>
    <t>Liam Brown</t>
  </si>
  <si>
    <t>VIC</t>
  </si>
  <si>
    <t>Monitor</t>
  </si>
  <si>
    <t>Olivia Jones</t>
  </si>
  <si>
    <t>QLD</t>
  </si>
  <si>
    <t>Furniture</t>
  </si>
  <si>
    <t>Desk</t>
  </si>
  <si>
    <t>Noah Wilson</t>
  </si>
  <si>
    <t>Office Chair</t>
  </si>
  <si>
    <t>Ava Taylor</t>
  </si>
  <si>
    <t>SA</t>
  </si>
  <si>
    <t>Keyboard</t>
  </si>
  <si>
    <t>Row Labels</t>
  </si>
  <si>
    <t>Grand Total</t>
  </si>
  <si>
    <t>Sum of Sales</t>
  </si>
  <si>
    <t>Australian Retail Sales Dashboard</t>
  </si>
  <si>
    <t>Total Sales</t>
  </si>
  <si>
    <t>Top State</t>
  </si>
  <si>
    <t>Top Product</t>
  </si>
  <si>
    <t>Count of 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</si>
</sst>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Red]\-&quot;$&quot;#,##0"/>
    <numFmt numFmtId="7" formatCode="&quot;$&quot;#,##0.00;\-&quot;$&quot;#,##0.00"/>
    <numFmt numFmtId="44" formatCode="_-&quot;$&quot;* #,##0.00_-;\-&quot;$&quot;* #,##0.00_-;_-&quot;$&quot;* &quot;-&quot;??_-;_-@_-"/>
  </numFmts>
  <fonts count="4" x14ac:knownFonts="1">
    <font>
      <sz val="11"/>
      <color theme="1"/>
      <name val="Aptos Narrow"/>
      <family val="2"/>
      <scheme val="minor"/>
    </font>
    <font>
      <sz val="11"/>
      <color theme="1"/>
      <name val="Aptos Narrow"/>
      <family val="2"/>
      <scheme val="minor"/>
    </font>
    <font>
      <b/>
      <sz val="22"/>
      <color theme="1"/>
      <name val="Aptos Narrow"/>
      <family val="2"/>
      <scheme val="minor"/>
    </font>
    <font>
      <b/>
      <sz val="18"/>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12">
    <xf numFmtId="0" fontId="0" fillId="0" borderId="0" xfId="0"/>
    <xf numFmtId="0" fontId="0" fillId="0" borderId="0" xfId="0" applyAlignment="1">
      <alignment wrapText="1"/>
    </xf>
    <xf numFmtId="14" fontId="0" fillId="0" borderId="0" xfId="0" applyNumberFormat="1"/>
    <xf numFmtId="44" fontId="0" fillId="0" borderId="0" xfId="1" applyFont="1"/>
    <xf numFmtId="0" fontId="0" fillId="0" borderId="0" xfId="0" pivotButton="1"/>
    <xf numFmtId="0" fontId="0" fillId="0" borderId="0" xfId="0" applyAlignment="1">
      <alignment horizontal="left"/>
    </xf>
    <xf numFmtId="44" fontId="0" fillId="0" borderId="0" xfId="0" applyNumberFormat="1"/>
    <xf numFmtId="7" fontId="0" fillId="0" borderId="0" xfId="0" applyNumberFormat="1"/>
    <xf numFmtId="0" fontId="3" fillId="0" borderId="0" xfId="0" applyFont="1" applyAlignment="1">
      <alignment horizontal="center"/>
    </xf>
    <xf numFmtId="0" fontId="2" fillId="0" borderId="0" xfId="0" applyFont="1" applyAlignment="1">
      <alignment horizontal="center"/>
    </xf>
    <xf numFmtId="0" fontId="0" fillId="0" borderId="0" xfId="0" applyAlignment="1">
      <alignment horizontal="center"/>
    </xf>
    <xf numFmtId="6" fontId="3" fillId="0" borderId="0" xfId="0" applyNumberFormat="1" applyFont="1" applyAlignment="1">
      <alignment horizontal="center"/>
    </xf>
  </cellXfs>
  <cellStyles count="2">
    <cellStyle name="Currency" xfId="1" builtinId="4"/>
    <cellStyle name="Normal" xfId="0" builtinId="0"/>
  </cellStyles>
  <dxfs count="2">
    <dxf>
      <alignment horizontal="general" vertical="bottom" textRotation="0" wrapText="1" indent="0" justifyLastLine="0" shrinkToFit="0" readingOrder="0"/>
    </dxf>
    <dxf>
      <numFmt numFmtId="19" formatCode="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[Australian_Retail_Sales_Dashboard.xlsx]Analysis!PivotTable1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State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c:f>
              <c:strCache>
                <c:ptCount val="1"/>
                <c:pt idx="0">
                  <c:v>Total</c:v>
                </c:pt>
              </c:strCache>
            </c:strRef>
          </c:tx>
          <c:spPr>
            <a:solidFill>
              <a:schemeClr val="accent1"/>
            </a:solidFill>
            <a:ln>
              <a:noFill/>
            </a:ln>
            <a:effectLst/>
          </c:spPr>
          <c:invertIfNegative val="0"/>
          <c:cat>
            <c:strRef>
              <c:f>Analysis!$A$2:$A$6</c:f>
              <c:strCache>
                <c:ptCount val="4"/>
                <c:pt idx="0">
                  <c:v>NSW</c:v>
                </c:pt>
                <c:pt idx="1">
                  <c:v>QLD</c:v>
                </c:pt>
                <c:pt idx="2">
                  <c:v>SA</c:v>
                </c:pt>
                <c:pt idx="3">
                  <c:v>VIC</c:v>
                </c:pt>
              </c:strCache>
            </c:strRef>
          </c:cat>
          <c:val>
            <c:numRef>
              <c:f>Analysis!$B$2:$B$6</c:f>
              <c:numCache>
                <c:formatCode>"$"#,##0.00_);\("$"#,##0.00\)</c:formatCode>
                <c:ptCount val="4"/>
                <c:pt idx="0">
                  <c:v>5220</c:v>
                </c:pt>
                <c:pt idx="1">
                  <c:v>3600</c:v>
                </c:pt>
                <c:pt idx="2">
                  <c:v>1440</c:v>
                </c:pt>
                <c:pt idx="3">
                  <c:v>3550</c:v>
                </c:pt>
              </c:numCache>
            </c:numRef>
          </c:val>
          <c:extLst>
            <c:ext xmlns:c16="http://schemas.microsoft.com/office/drawing/2014/chart" uri="{C3380CC4-5D6E-409C-BE32-E72D297353CC}">
              <c16:uniqueId val="{00000000-9744-45B5-9F89-73921EE5CCDB}"/>
            </c:ext>
          </c:extLst>
        </c:ser>
        <c:dLbls>
          <c:showLegendKey val="0"/>
          <c:showVal val="0"/>
          <c:showCatName val="0"/>
          <c:showSerName val="0"/>
          <c:showPercent val="0"/>
          <c:showBubbleSize val="0"/>
        </c:dLbls>
        <c:gapWidth val="219"/>
        <c:overlap val="-27"/>
        <c:axId val="408416511"/>
        <c:axId val="488906959"/>
      </c:barChart>
      <c:catAx>
        <c:axId val="408416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906959"/>
        <c:crosses val="autoZero"/>
        <c:auto val="1"/>
        <c:lblAlgn val="ctr"/>
        <c:lblOffset val="100"/>
        <c:noMultiLvlLbl val="0"/>
      </c:catAx>
      <c:valAx>
        <c:axId val="48890695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416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[Australian_Retail_Sales_Dashboard.xlsx]Analysis!PivotTable2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Analysis!$B$20</c:f>
              <c:strCache>
                <c:ptCount val="1"/>
                <c:pt idx="0">
                  <c:v>Total</c:v>
                </c:pt>
              </c:strCache>
            </c:strRef>
          </c:tx>
          <c:spPr>
            <a:solidFill>
              <a:schemeClr val="accent1"/>
            </a:solidFill>
            <a:ln>
              <a:noFill/>
            </a:ln>
            <a:effectLst/>
          </c:spPr>
          <c:invertIfNegative val="0"/>
          <c:cat>
            <c:strRef>
              <c:f>Analysis!$A$21:$A$26</c:f>
              <c:strCache>
                <c:ptCount val="5"/>
                <c:pt idx="0">
                  <c:v>Desk</c:v>
                </c:pt>
                <c:pt idx="1">
                  <c:v>Keyboard</c:v>
                </c:pt>
                <c:pt idx="2">
                  <c:v>Laptop</c:v>
                </c:pt>
                <c:pt idx="3">
                  <c:v>Monitor</c:v>
                </c:pt>
                <c:pt idx="4">
                  <c:v>Office Chair</c:v>
                </c:pt>
              </c:strCache>
            </c:strRef>
          </c:cat>
          <c:val>
            <c:numRef>
              <c:f>Analysis!$B$21:$B$26</c:f>
              <c:numCache>
                <c:formatCode>_("$"* #,##0.00_);_("$"* \(#,##0.00\);_("$"* "-"??_);_(@_)</c:formatCode>
                <c:ptCount val="5"/>
                <c:pt idx="0">
                  <c:v>3500</c:v>
                </c:pt>
                <c:pt idx="1">
                  <c:v>960</c:v>
                </c:pt>
                <c:pt idx="2">
                  <c:v>4800</c:v>
                </c:pt>
                <c:pt idx="3">
                  <c:v>3150</c:v>
                </c:pt>
                <c:pt idx="4">
                  <c:v>1400</c:v>
                </c:pt>
              </c:numCache>
            </c:numRef>
          </c:val>
          <c:extLst>
            <c:ext xmlns:c16="http://schemas.microsoft.com/office/drawing/2014/chart" uri="{C3380CC4-5D6E-409C-BE32-E72D297353CC}">
              <c16:uniqueId val="{00000000-3CDB-4BE5-8AED-3DD6F9FE4EF1}"/>
            </c:ext>
          </c:extLst>
        </c:ser>
        <c:dLbls>
          <c:showLegendKey val="0"/>
          <c:showVal val="0"/>
          <c:showCatName val="0"/>
          <c:showSerName val="0"/>
          <c:showPercent val="0"/>
          <c:showBubbleSize val="0"/>
        </c:dLbls>
        <c:gapWidth val="219"/>
        <c:overlap val="-27"/>
        <c:axId val="501216319"/>
        <c:axId val="488825839"/>
      </c:barChart>
      <c:catAx>
        <c:axId val="501216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825839"/>
        <c:crosses val="autoZero"/>
        <c:auto val="1"/>
        <c:lblAlgn val="ctr"/>
        <c:lblOffset val="100"/>
        <c:noMultiLvlLbl val="0"/>
      </c:catAx>
      <c:valAx>
        <c:axId val="48882583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216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[Australian_Retail_Sales_Dashboard.xlsx]Analysis!PivotTable3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Analysis!$B$35</c:f>
              <c:strCache>
                <c:ptCount val="1"/>
                <c:pt idx="0">
                  <c:v>Total</c:v>
                </c:pt>
              </c:strCache>
            </c:strRef>
          </c:tx>
          <c:spPr>
            <a:solidFill>
              <a:schemeClr val="accent1"/>
            </a:solidFill>
            <a:ln>
              <a:noFill/>
            </a:ln>
            <a:effectLst/>
          </c:spPr>
          <c:invertIfNegative val="0"/>
          <c:cat>
            <c:strRef>
              <c:f>Analysis!$A$36:$A$37</c:f>
              <c:strCache>
                <c:ptCount val="1"/>
                <c:pt idx="0">
                  <c:v>Furniture</c:v>
                </c:pt>
              </c:strCache>
            </c:strRef>
          </c:cat>
          <c:val>
            <c:numRef>
              <c:f>Analysis!$B$36:$B$37</c:f>
              <c:numCache>
                <c:formatCode>_("$"* #,##0.00_);_("$"* \(#,##0.00\);_("$"* "-"??_);_(@_)</c:formatCode>
                <c:ptCount val="1"/>
                <c:pt idx="0">
                  <c:v>4900</c:v>
                </c:pt>
              </c:numCache>
            </c:numRef>
          </c:val>
          <c:extLst>
            <c:ext xmlns:c16="http://schemas.microsoft.com/office/drawing/2014/chart" uri="{C3380CC4-5D6E-409C-BE32-E72D297353CC}">
              <c16:uniqueId val="{00000000-35C4-4880-BFEE-9E4FA4EDDA54}"/>
            </c:ext>
          </c:extLst>
        </c:ser>
        <c:dLbls>
          <c:showLegendKey val="0"/>
          <c:showVal val="0"/>
          <c:showCatName val="0"/>
          <c:showSerName val="0"/>
          <c:showPercent val="0"/>
          <c:showBubbleSize val="0"/>
        </c:dLbls>
        <c:gapWidth val="219"/>
        <c:overlap val="-27"/>
        <c:axId val="920591375"/>
        <c:axId val="488815759"/>
      </c:barChart>
      <c:catAx>
        <c:axId val="920591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815759"/>
        <c:crosses val="autoZero"/>
        <c:auto val="1"/>
        <c:lblAlgn val="ctr"/>
        <c:lblOffset val="100"/>
        <c:noMultiLvlLbl val="0"/>
      </c:catAx>
      <c:valAx>
        <c:axId val="48881575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591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[Australian_Retail_Sales_Dashboard.xlsx]Analysis!PivotTable1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State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Analysis!$A$2:$A$6</c:f>
              <c:strCache>
                <c:ptCount val="4"/>
                <c:pt idx="0">
                  <c:v>NSW</c:v>
                </c:pt>
                <c:pt idx="1">
                  <c:v>QLD</c:v>
                </c:pt>
                <c:pt idx="2">
                  <c:v>SA</c:v>
                </c:pt>
                <c:pt idx="3">
                  <c:v>VIC</c:v>
                </c:pt>
              </c:strCache>
            </c:strRef>
          </c:cat>
          <c:val>
            <c:numRef>
              <c:f>Analysis!$B$2:$B$6</c:f>
              <c:numCache>
                <c:formatCode>"$"#,##0.00_);\("$"#,##0.00\)</c:formatCode>
                <c:ptCount val="4"/>
                <c:pt idx="0">
                  <c:v>5220</c:v>
                </c:pt>
                <c:pt idx="1">
                  <c:v>3600</c:v>
                </c:pt>
                <c:pt idx="2">
                  <c:v>1440</c:v>
                </c:pt>
                <c:pt idx="3">
                  <c:v>3550</c:v>
                </c:pt>
              </c:numCache>
            </c:numRef>
          </c:val>
          <c:extLst>
            <c:ext xmlns:c16="http://schemas.microsoft.com/office/drawing/2014/chart" uri="{C3380CC4-5D6E-409C-BE32-E72D297353CC}">
              <c16:uniqueId val="{00000000-16E8-4C5B-9D6C-C78AFCBD945A}"/>
            </c:ext>
          </c:extLst>
        </c:ser>
        <c:dLbls>
          <c:dLblPos val="outEnd"/>
          <c:showLegendKey val="0"/>
          <c:showVal val="1"/>
          <c:showCatName val="0"/>
          <c:showSerName val="0"/>
          <c:showPercent val="0"/>
          <c:showBubbleSize val="0"/>
        </c:dLbls>
        <c:gapWidth val="219"/>
        <c:overlap val="-27"/>
        <c:axId val="408416511"/>
        <c:axId val="488906959"/>
      </c:barChart>
      <c:catAx>
        <c:axId val="408416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906959"/>
        <c:crosses val="autoZero"/>
        <c:auto val="1"/>
        <c:lblAlgn val="ctr"/>
        <c:lblOffset val="100"/>
        <c:noMultiLvlLbl val="0"/>
      </c:catAx>
      <c:valAx>
        <c:axId val="48890695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416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[Australian_Retail_Sales_Dashboard.xlsx]Analysis!PivotTable2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Analysis!$A$21:$A$26</c:f>
              <c:strCache>
                <c:ptCount val="5"/>
                <c:pt idx="0">
                  <c:v>Desk</c:v>
                </c:pt>
                <c:pt idx="1">
                  <c:v>Keyboard</c:v>
                </c:pt>
                <c:pt idx="2">
                  <c:v>Laptop</c:v>
                </c:pt>
                <c:pt idx="3">
                  <c:v>Monitor</c:v>
                </c:pt>
                <c:pt idx="4">
                  <c:v>Office Chair</c:v>
                </c:pt>
              </c:strCache>
            </c:strRef>
          </c:cat>
          <c:val>
            <c:numRef>
              <c:f>Analysis!$B$21:$B$26</c:f>
              <c:numCache>
                <c:formatCode>_("$"* #,##0.00_);_("$"* \(#,##0.00\);_("$"* "-"??_);_(@_)</c:formatCode>
                <c:ptCount val="5"/>
                <c:pt idx="0">
                  <c:v>3500</c:v>
                </c:pt>
                <c:pt idx="1">
                  <c:v>960</c:v>
                </c:pt>
                <c:pt idx="2">
                  <c:v>4800</c:v>
                </c:pt>
                <c:pt idx="3">
                  <c:v>3150</c:v>
                </c:pt>
                <c:pt idx="4">
                  <c:v>1400</c:v>
                </c:pt>
              </c:numCache>
            </c:numRef>
          </c:val>
          <c:extLst>
            <c:ext xmlns:c16="http://schemas.microsoft.com/office/drawing/2014/chart" uri="{C3380CC4-5D6E-409C-BE32-E72D297353CC}">
              <c16:uniqueId val="{00000000-EDC7-4C8E-AA85-B26C973AC29A}"/>
            </c:ext>
          </c:extLst>
        </c:ser>
        <c:dLbls>
          <c:dLblPos val="outEnd"/>
          <c:showLegendKey val="0"/>
          <c:showVal val="1"/>
          <c:showCatName val="0"/>
          <c:showSerName val="0"/>
          <c:showPercent val="0"/>
          <c:showBubbleSize val="0"/>
        </c:dLbls>
        <c:gapWidth val="219"/>
        <c:overlap val="-27"/>
        <c:axId val="501216319"/>
        <c:axId val="488825839"/>
      </c:barChart>
      <c:catAx>
        <c:axId val="501216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825839"/>
        <c:crosses val="autoZero"/>
        <c:auto val="1"/>
        <c:lblAlgn val="ctr"/>
        <c:lblOffset val="100"/>
        <c:noMultiLvlLbl val="0"/>
      </c:catAx>
      <c:valAx>
        <c:axId val="48882583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216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228600</xdr:colOff>
      <xdr:row>0</xdr:row>
      <xdr:rowOff>0</xdr:rowOff>
    </xdr:from>
    <xdr:to>
      <xdr:col>9</xdr:col>
      <xdr:colOff>533400</xdr:colOff>
      <xdr:row>14</xdr:row>
      <xdr:rowOff>165100</xdr:rowOff>
    </xdr:to>
    <xdr:graphicFrame macro="">
      <xdr:nvGraphicFramePr>
        <xdr:cNvPr id="2" name="Chart 1">
          <a:extLst>
            <a:ext uri="{FF2B5EF4-FFF2-40B4-BE49-F238E27FC236}">
              <a16:creationId xmlns:a16="http://schemas.microsoft.com/office/drawing/2014/main" id="{CD69F119-8B89-F1C0-52E6-61BAFA9FCA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190500</xdr:colOff>
      <xdr:row>17</xdr:row>
      <xdr:rowOff>15875</xdr:rowOff>
    </xdr:from>
    <xdr:to>
      <xdr:col>9</xdr:col>
      <xdr:colOff>495300</xdr:colOff>
      <xdr:row>31</xdr:row>
      <xdr:rowOff>180975</xdr:rowOff>
    </xdr:to>
    <xdr:graphicFrame macro="">
      <xdr:nvGraphicFramePr>
        <xdr:cNvPr id="3" name="Chart 2">
          <a:extLst>
            <a:ext uri="{FF2B5EF4-FFF2-40B4-BE49-F238E27FC236}">
              <a16:creationId xmlns:a16="http://schemas.microsoft.com/office/drawing/2014/main" id="{9BBC3627-DD2B-3881-BC3C-7DAFD4FD68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184150</xdr:colOff>
      <xdr:row>33</xdr:row>
      <xdr:rowOff>174625</xdr:rowOff>
    </xdr:from>
    <xdr:to>
      <xdr:col>9</xdr:col>
      <xdr:colOff>488950</xdr:colOff>
      <xdr:row>48</xdr:row>
      <xdr:rowOff>155575</xdr:rowOff>
    </xdr:to>
    <xdr:graphicFrame macro="">
      <xdr:nvGraphicFramePr>
        <xdr:cNvPr id="4" name="Chart 3">
          <a:extLst>
            <a:ext uri="{FF2B5EF4-FFF2-40B4-BE49-F238E27FC236}">
              <a16:creationId xmlns:a16="http://schemas.microsoft.com/office/drawing/2014/main" id="{0E8D5DE2-E880-E174-A8BE-4877304958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8</xdr:row>
      <xdr:rowOff>6350</xdr:rowOff>
    </xdr:from>
    <xdr:to>
      <xdr:col>2</xdr:col>
      <xdr:colOff>304800</xdr:colOff>
      <xdr:row>19</xdr:row>
      <xdr:rowOff>12700</xdr:rowOff>
    </xdr:to>
    <xdr:graphicFrame macro="">
      <xdr:nvGraphicFramePr>
        <xdr:cNvPr id="2" name="Chart 1">
          <a:extLst>
            <a:ext uri="{FF2B5EF4-FFF2-40B4-BE49-F238E27FC236}">
              <a16:creationId xmlns:a16="http://schemas.microsoft.com/office/drawing/2014/main" id="{D25BE506-2F4E-4402-A1E8-34EED54A82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234950</xdr:colOff>
      <xdr:row>8</xdr:row>
      <xdr:rowOff>19050</xdr:rowOff>
    </xdr:from>
    <xdr:to>
      <xdr:col>11</xdr:col>
      <xdr:colOff>6350</xdr:colOff>
      <xdr:row>18</xdr:row>
      <xdr:rowOff>177800</xdr:rowOff>
    </xdr:to>
    <xdr:graphicFrame macro="">
      <xdr:nvGraphicFramePr>
        <xdr:cNvPr id="3" name="Chart 2">
          <a:extLst>
            <a:ext uri="{FF2B5EF4-FFF2-40B4-BE49-F238E27FC236}">
              <a16:creationId xmlns:a16="http://schemas.microsoft.com/office/drawing/2014/main" id="{64F53C0B-4B11-4BC4-AB36-2F0FFDF4A0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508000</xdr:colOff>
      <xdr:row>8</xdr:row>
      <xdr:rowOff>19050</xdr:rowOff>
    </xdr:from>
    <xdr:to>
      <xdr:col>5</xdr:col>
      <xdr:colOff>508000</xdr:colOff>
      <xdr:row>11</xdr:row>
      <xdr:rowOff>177800</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45C5A5C2-9818-1851-D57E-782DF96CD3C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092450" y="1492250"/>
              <a:ext cx="1828800" cy="7112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addha Parajuli" refreshedDate="46302.611969791666" createdVersion="8" refreshedVersion="8" minRefreshableVersion="3" recordCount="20" xr:uid="{7D1D382B-E19F-4D4D-9BD1-ED2038A70409}">
  <cacheSource type="worksheet">
    <worksheetSource name="Table1"/>
  </cacheSource>
  <cacheFields count="9">
    <cacheField name="Order ID" numFmtId="0">
      <sharedItems containsSemiMixedTypes="0" containsString="0" containsNumber="1" containsInteger="1" minValue="1001" maxValue="1020"/>
    </cacheField>
    <cacheField name="Order Date" numFmtId="14">
      <sharedItems containsSemiMixedTypes="0" containsNonDate="0" containsDate="1" containsString="0" minDate="2026-01-01T00:00:00" maxDate="2026-04-16T00:00:00"/>
    </cacheField>
    <cacheField name="Customer" numFmtId="0">
      <sharedItems/>
    </cacheField>
    <cacheField name="State" numFmtId="0">
      <sharedItems count="4">
        <s v="NSW"/>
        <s v="VIC"/>
        <s v="QLD"/>
        <s v="SA"/>
      </sharedItems>
    </cacheField>
    <cacheField name="Category" numFmtId="0">
      <sharedItems count="2">
        <s v="Electronics"/>
        <s v="Furniture"/>
      </sharedItems>
    </cacheField>
    <cacheField name="Product" numFmtId="0">
      <sharedItems count="5">
        <s v="Laptop"/>
        <s v="Monitor"/>
        <s v="Desk"/>
        <s v="Office Chair"/>
        <s v="Keyboard"/>
      </sharedItems>
    </cacheField>
    <cacheField name="Quantity" numFmtId="0">
      <sharedItems containsSemiMixedTypes="0" containsString="0" containsNumber="1" containsInteger="1" minValue="1" maxValue="5"/>
    </cacheField>
    <cacheField name="Unit Price" numFmtId="44">
      <sharedItems containsSemiMixedTypes="0" containsString="0" containsNumber="1" containsInteger="1" minValue="80" maxValue="1200"/>
    </cacheField>
    <cacheField name="Sales" numFmtId="44">
      <sharedItems containsSemiMixedTypes="0" containsString="0" containsNumber="1" containsInteger="1" minValue="240" maxValue="1200"/>
    </cacheField>
  </cacheFields>
  <extLst>
    <ext xmlns:x14="http://schemas.microsoft.com/office/spreadsheetml/2009/9/main" uri="{725AE2AE-9491-48be-B2B4-4EB974FC3084}">
      <x14:pivotCacheDefinition pivotCacheId="18539789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1001"/>
    <d v="2026-01-01T00:00:00"/>
    <s v="Emma Smith"/>
    <x v="0"/>
    <x v="0"/>
    <x v="0"/>
    <n v="1"/>
    <n v="1200"/>
    <n v="1200"/>
  </r>
  <r>
    <n v="1002"/>
    <d v="2026-01-03T00:00:00"/>
    <s v="Liam Brown"/>
    <x v="1"/>
    <x v="0"/>
    <x v="1"/>
    <n v="2"/>
    <n v="450"/>
    <n v="900"/>
  </r>
  <r>
    <n v="1003"/>
    <d v="2026-01-05T00:00:00"/>
    <s v="Olivia Jones"/>
    <x v="2"/>
    <x v="1"/>
    <x v="2"/>
    <n v="1"/>
    <n v="500"/>
    <n v="500"/>
  </r>
  <r>
    <n v="1004"/>
    <d v="2026-01-08T00:00:00"/>
    <s v="Noah Wilson"/>
    <x v="0"/>
    <x v="1"/>
    <x v="3"/>
    <n v="2"/>
    <n v="350"/>
    <n v="700"/>
  </r>
  <r>
    <n v="1005"/>
    <d v="2026-01-12T00:00:00"/>
    <s v="Ava Taylor"/>
    <x v="3"/>
    <x v="0"/>
    <x v="4"/>
    <n v="3"/>
    <n v="80"/>
    <n v="240"/>
  </r>
  <r>
    <n v="1006"/>
    <d v="2026-01-18T00:00:00"/>
    <s v="Emma Smith"/>
    <x v="0"/>
    <x v="0"/>
    <x v="1"/>
    <n v="1"/>
    <n v="450"/>
    <n v="450"/>
  </r>
  <r>
    <n v="1007"/>
    <d v="2026-01-25T00:00:00"/>
    <s v="Liam Brown"/>
    <x v="1"/>
    <x v="1"/>
    <x v="2"/>
    <n v="2"/>
    <n v="500"/>
    <n v="1000"/>
  </r>
  <r>
    <n v="1008"/>
    <d v="2026-02-02T00:00:00"/>
    <s v="Olivia Jones"/>
    <x v="2"/>
    <x v="0"/>
    <x v="0"/>
    <n v="1"/>
    <n v="1200"/>
    <n v="1200"/>
  </r>
  <r>
    <n v="1009"/>
    <d v="2026-02-09T00:00:00"/>
    <s v="Noah Wilson"/>
    <x v="0"/>
    <x v="0"/>
    <x v="4"/>
    <n v="4"/>
    <n v="80"/>
    <n v="320"/>
  </r>
  <r>
    <n v="1010"/>
    <d v="2026-02-15T00:00:00"/>
    <s v="Ava Taylor"/>
    <x v="3"/>
    <x v="1"/>
    <x v="3"/>
    <n v="1"/>
    <n v="350"/>
    <n v="350"/>
  </r>
  <r>
    <n v="1011"/>
    <d v="2026-02-21T00:00:00"/>
    <s v="Emma Smith"/>
    <x v="0"/>
    <x v="1"/>
    <x v="2"/>
    <n v="1"/>
    <n v="500"/>
    <n v="500"/>
  </r>
  <r>
    <n v="1012"/>
    <d v="2026-02-28T00:00:00"/>
    <s v="Liam Brown"/>
    <x v="1"/>
    <x v="0"/>
    <x v="0"/>
    <n v="1"/>
    <n v="1200"/>
    <n v="1200"/>
  </r>
  <r>
    <n v="1013"/>
    <d v="2026-03-04T00:00:00"/>
    <s v="Olivia Jones"/>
    <x v="2"/>
    <x v="0"/>
    <x v="1"/>
    <n v="2"/>
    <n v="450"/>
    <n v="900"/>
  </r>
  <r>
    <n v="1014"/>
    <d v="2026-03-10T00:00:00"/>
    <s v="Noah Wilson"/>
    <x v="0"/>
    <x v="1"/>
    <x v="2"/>
    <n v="1"/>
    <n v="500"/>
    <n v="500"/>
  </r>
  <r>
    <n v="1015"/>
    <d v="2026-03-16T00:00:00"/>
    <s v="Ava Taylor"/>
    <x v="3"/>
    <x v="0"/>
    <x v="4"/>
    <n v="5"/>
    <n v="80"/>
    <n v="400"/>
  </r>
  <r>
    <n v="1016"/>
    <d v="2026-03-22T00:00:00"/>
    <s v="Emma Smith"/>
    <x v="0"/>
    <x v="1"/>
    <x v="3"/>
    <n v="1"/>
    <n v="350"/>
    <n v="350"/>
  </r>
  <r>
    <n v="1017"/>
    <d v="2026-03-27T00:00:00"/>
    <s v="Liam Brown"/>
    <x v="1"/>
    <x v="0"/>
    <x v="1"/>
    <n v="1"/>
    <n v="450"/>
    <n v="450"/>
  </r>
  <r>
    <n v="1018"/>
    <d v="2026-04-02T00:00:00"/>
    <s v="Olivia Jones"/>
    <x v="2"/>
    <x v="1"/>
    <x v="2"/>
    <n v="2"/>
    <n v="500"/>
    <n v="1000"/>
  </r>
  <r>
    <n v="1019"/>
    <d v="2026-04-08T00:00:00"/>
    <s v="Noah Wilson"/>
    <x v="0"/>
    <x v="0"/>
    <x v="0"/>
    <n v="1"/>
    <n v="1200"/>
    <n v="1200"/>
  </r>
  <r>
    <n v="1020"/>
    <d v="2026-04-15T00:00:00"/>
    <s v="Ava Taylor"/>
    <x v="3"/>
    <x v="0"/>
    <x v="1"/>
    <n v="1"/>
    <n v="450"/>
    <n v="4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971B5E-F915-474A-AE95-D69DF2E3686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6" firstHeaderRow="1" firstDataRow="1" firstDataCol="1"/>
  <pivotFields count="9">
    <pivotField showAll="0"/>
    <pivotField numFmtId="14" showAll="0"/>
    <pivotField showAll="0"/>
    <pivotField axis="axisRow" showAll="0">
      <items count="5">
        <item x="0"/>
        <item x="2"/>
        <item x="3"/>
        <item x="1"/>
        <item t="default"/>
      </items>
    </pivotField>
    <pivotField showAll="0">
      <items count="3">
        <item x="0"/>
        <item x="1"/>
        <item t="default"/>
      </items>
    </pivotField>
    <pivotField showAll="0"/>
    <pivotField showAll="0"/>
    <pivotField numFmtId="44" showAll="0"/>
    <pivotField dataField="1" numFmtId="44" showAll="0"/>
  </pivotFields>
  <rowFields count="1">
    <field x="3"/>
  </rowFields>
  <rowItems count="5">
    <i>
      <x/>
    </i>
    <i>
      <x v="1"/>
    </i>
    <i>
      <x v="2"/>
    </i>
    <i>
      <x v="3"/>
    </i>
    <i t="grand">
      <x/>
    </i>
  </rowItems>
  <colItems count="1">
    <i/>
  </colItems>
  <dataFields count="1">
    <dataField name="Sum of Sales" fld="8" baseField="0" baseItem="0" numFmtId="7"/>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B64C9EE-57EB-4A0B-A6BD-5EC0C9CDBF8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M2" firstHeaderRow="1" firstDataRow="1" firstDataCol="0"/>
  <pivotFields count="9">
    <pivotField dataField="1" showAll="0"/>
    <pivotField numFmtId="14" showAll="0"/>
    <pivotField showAll="0"/>
    <pivotField showAll="0"/>
    <pivotField showAll="0"/>
    <pivotField showAll="0"/>
    <pivotField showAll="0"/>
    <pivotField numFmtId="44" showAll="0"/>
    <pivotField numFmtId="44" showAll="0"/>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037825-E8F6-4F1B-A169-2FC444C2C57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5:B37" firstHeaderRow="1" firstDataRow="1" firstDataCol="1"/>
  <pivotFields count="9">
    <pivotField showAll="0"/>
    <pivotField numFmtId="14" showAll="0"/>
    <pivotField showAll="0"/>
    <pivotField showAll="0"/>
    <pivotField axis="axisRow" showAll="0">
      <items count="3">
        <item h="1" x="0"/>
        <item x="1"/>
        <item t="default"/>
      </items>
    </pivotField>
    <pivotField showAll="0"/>
    <pivotField showAll="0"/>
    <pivotField numFmtId="44" showAll="0"/>
    <pivotField dataField="1" numFmtId="44" showAll="0"/>
  </pivotFields>
  <rowFields count="1">
    <field x="4"/>
  </rowFields>
  <rowItems count="2">
    <i>
      <x v="1"/>
    </i>
    <i t="grand">
      <x/>
    </i>
  </rowItems>
  <colItems count="1">
    <i/>
  </colItems>
  <dataFields count="1">
    <dataField name="Sum of Sales" fld="8" baseField="0" baseItem="0" numFmtId="4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C815846-54F3-4E45-B1F8-8CDB2AD9EC1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0:B26" firstHeaderRow="1" firstDataRow="1" firstDataCol="1"/>
  <pivotFields count="9">
    <pivotField showAll="0"/>
    <pivotField numFmtId="14" showAll="0"/>
    <pivotField showAll="0"/>
    <pivotField showAll="0"/>
    <pivotField showAll="0">
      <items count="3">
        <item x="0"/>
        <item x="1"/>
        <item t="default"/>
      </items>
    </pivotField>
    <pivotField axis="axisRow" showAll="0">
      <items count="6">
        <item x="2"/>
        <item x="4"/>
        <item x="0"/>
        <item x="1"/>
        <item x="3"/>
        <item t="default"/>
      </items>
    </pivotField>
    <pivotField showAll="0"/>
    <pivotField numFmtId="44" showAll="0"/>
    <pivotField dataField="1" numFmtId="44" showAll="0"/>
  </pivotFields>
  <rowFields count="1">
    <field x="5"/>
  </rowFields>
  <rowItems count="6">
    <i>
      <x/>
    </i>
    <i>
      <x v="1"/>
    </i>
    <i>
      <x v="2"/>
    </i>
    <i>
      <x v="3"/>
    </i>
    <i>
      <x v="4"/>
    </i>
    <i t="grand">
      <x/>
    </i>
  </rowItems>
  <colItems count="1">
    <i/>
  </colItems>
  <dataFields count="1">
    <dataField name="Sum of Sales" fld="8" baseField="0" baseItem="0" numFmtId="44"/>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1BC5C9D-9859-4702-9865-FDEBEC4B2F50}" sourceName="Category">
  <pivotTables>
    <pivotTable tabId="2" name="PivotTable1"/>
    <pivotTable tabId="2" name="PivotTable2"/>
  </pivotTables>
  <data>
    <tabular pivotCacheId="1853978925">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7E260C9D-FADA-4AE7-8D15-AC6DF6308824}" cache="Slicer_Category" caption="Category" columnCount="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D36A094-4F3C-4D7E-B7C2-355A882D3D6A}" name="Table1" displayName="Table1" ref="A1:I21" totalsRowShown="0">
  <autoFilter ref="A1:I21" xr:uid="{2D36A094-4F3C-4D7E-B7C2-355A882D3D6A}"/>
  <tableColumns count="9">
    <tableColumn id="1" xr3:uid="{1E55E3B9-D93E-4F62-A49C-CA2B4FFFC3C7}" name="Order ID"/>
    <tableColumn id="2" xr3:uid="{C5CB04CA-A60C-4F8C-9ADD-45A21F635E99}" name="Order Date" dataDxfId="1"/>
    <tableColumn id="3" xr3:uid="{71AB71BC-D7EE-403F-B869-013A0B49B0FD}" name="Customer" dataDxfId="0"/>
    <tableColumn id="4" xr3:uid="{A8C9F30C-00FD-46B4-A320-2F0B495BF999}" name="State"/>
    <tableColumn id="5" xr3:uid="{C776B20A-23FC-4D31-91E3-4EBD7AB39760}" name="Category"/>
    <tableColumn id="6" xr3:uid="{FEC5087E-5840-47D7-85F4-CF48BCFB8ADB}" name="Product"/>
    <tableColumn id="7" xr3:uid="{2504A3F8-C0D7-4268-91A7-C067C202407C}" name="Quantity"/>
    <tableColumn id="8" xr3:uid="{F1151689-7569-4CEA-B775-32E1ECFD3F6C}" name="Unit Price" dataCellStyle="Currency"/>
    <tableColumn id="9" xr3:uid="{14385EDC-120B-447C-B452-5B465995723B}" name="Sales" dataCellStyle="Currenc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F2EE0-D4CD-472C-B981-F2A756026467}">
  <dimension ref="A1:I22"/>
  <sheetViews>
    <sheetView workbookViewId="0">
      <selection activeCell="D6" sqref="D6"/>
    </sheetView>
  </sheetViews>
  <sheetFormatPr defaultRowHeight="14.5" x14ac:dyDescent="0.35"/>
  <cols>
    <col min="1" max="1" width="9.6328125" customWidth="1"/>
    <col min="2" max="2" width="11.7265625" customWidth="1"/>
    <col min="3" max="3" width="11" style="1" customWidth="1"/>
    <col min="5" max="5" width="10.1796875" customWidth="1"/>
    <col min="6" max="6" width="9.36328125" customWidth="1"/>
    <col min="7" max="7" width="10" customWidth="1"/>
    <col min="8" max="8" width="11" style="3" customWidth="1"/>
    <col min="9" max="9" width="10.1796875" style="3" bestFit="1" customWidth="1"/>
  </cols>
  <sheetData>
    <row r="1" spans="1:9" ht="29" x14ac:dyDescent="0.35">
      <c r="A1" t="s">
        <v>0</v>
      </c>
      <c r="B1" s="1" t="s">
        <v>1</v>
      </c>
      <c r="C1" s="1" t="s">
        <v>2</v>
      </c>
      <c r="D1" t="s">
        <v>3</v>
      </c>
      <c r="E1" t="s">
        <v>4</v>
      </c>
      <c r="F1" t="s">
        <v>5</v>
      </c>
      <c r="G1" t="s">
        <v>6</v>
      </c>
      <c r="H1" s="3" t="s">
        <v>7</v>
      </c>
      <c r="I1" s="3" t="s">
        <v>8</v>
      </c>
    </row>
    <row r="2" spans="1:9" x14ac:dyDescent="0.35">
      <c r="A2">
        <v>1001</v>
      </c>
      <c r="B2" s="2">
        <v>46023</v>
      </c>
      <c r="C2" s="1" t="s">
        <v>9</v>
      </c>
      <c r="D2" t="s">
        <v>10</v>
      </c>
      <c r="E2" t="s">
        <v>11</v>
      </c>
      <c r="F2" t="s">
        <v>12</v>
      </c>
      <c r="G2">
        <v>1</v>
      </c>
      <c r="H2" s="3">
        <v>1200</v>
      </c>
      <c r="I2" s="3">
        <f>G2*H2</f>
        <v>1200</v>
      </c>
    </row>
    <row r="3" spans="1:9" x14ac:dyDescent="0.35">
      <c r="A3">
        <v>1002</v>
      </c>
      <c r="B3" s="2">
        <v>46025</v>
      </c>
      <c r="C3" s="1" t="s">
        <v>13</v>
      </c>
      <c r="D3" t="s">
        <v>14</v>
      </c>
      <c r="E3" t="s">
        <v>11</v>
      </c>
      <c r="F3" t="s">
        <v>15</v>
      </c>
      <c r="G3">
        <v>2</v>
      </c>
      <c r="H3" s="3">
        <v>450</v>
      </c>
      <c r="I3" s="3">
        <v>900</v>
      </c>
    </row>
    <row r="4" spans="1:9" x14ac:dyDescent="0.35">
      <c r="A4">
        <v>1003</v>
      </c>
      <c r="B4" s="2">
        <v>46027</v>
      </c>
      <c r="C4" s="1" t="s">
        <v>16</v>
      </c>
      <c r="D4" t="s">
        <v>17</v>
      </c>
      <c r="E4" t="s">
        <v>18</v>
      </c>
      <c r="F4" t="s">
        <v>19</v>
      </c>
      <c r="G4">
        <v>1</v>
      </c>
      <c r="H4" s="3">
        <v>500</v>
      </c>
      <c r="I4" s="3">
        <v>500</v>
      </c>
    </row>
    <row r="5" spans="1:9" x14ac:dyDescent="0.35">
      <c r="A5">
        <v>1004</v>
      </c>
      <c r="B5" s="2">
        <v>46030</v>
      </c>
      <c r="C5" s="1" t="s">
        <v>20</v>
      </c>
      <c r="D5" t="s">
        <v>10</v>
      </c>
      <c r="E5" t="s">
        <v>18</v>
      </c>
      <c r="F5" t="s">
        <v>21</v>
      </c>
      <c r="G5">
        <v>2</v>
      </c>
      <c r="H5" s="3">
        <v>350</v>
      </c>
      <c r="I5" s="3">
        <v>700</v>
      </c>
    </row>
    <row r="6" spans="1:9" x14ac:dyDescent="0.35">
      <c r="A6">
        <v>1005</v>
      </c>
      <c r="B6" s="2">
        <v>46034</v>
      </c>
      <c r="C6" s="1" t="s">
        <v>22</v>
      </c>
      <c r="D6" t="s">
        <v>23</v>
      </c>
      <c r="E6" t="s">
        <v>11</v>
      </c>
      <c r="F6" t="s">
        <v>24</v>
      </c>
      <c r="G6">
        <v>3</v>
      </c>
      <c r="H6" s="3">
        <v>80</v>
      </c>
      <c r="I6" s="3">
        <v>240</v>
      </c>
    </row>
    <row r="7" spans="1:9" x14ac:dyDescent="0.35">
      <c r="A7">
        <v>1006</v>
      </c>
      <c r="B7" s="2">
        <v>46040</v>
      </c>
      <c r="C7" s="1" t="s">
        <v>9</v>
      </c>
      <c r="D7" t="s">
        <v>10</v>
      </c>
      <c r="E7" t="s">
        <v>11</v>
      </c>
      <c r="F7" t="s">
        <v>15</v>
      </c>
      <c r="G7">
        <v>1</v>
      </c>
      <c r="H7" s="3">
        <v>450</v>
      </c>
      <c r="I7" s="3">
        <v>450</v>
      </c>
    </row>
    <row r="8" spans="1:9" x14ac:dyDescent="0.35">
      <c r="A8">
        <v>1007</v>
      </c>
      <c r="B8" s="2">
        <v>46047</v>
      </c>
      <c r="C8" s="1" t="s">
        <v>13</v>
      </c>
      <c r="D8" t="s">
        <v>14</v>
      </c>
      <c r="E8" t="s">
        <v>18</v>
      </c>
      <c r="F8" t="s">
        <v>19</v>
      </c>
      <c r="G8">
        <v>2</v>
      </c>
      <c r="H8" s="3">
        <v>500</v>
      </c>
      <c r="I8" s="3">
        <v>1000</v>
      </c>
    </row>
    <row r="9" spans="1:9" x14ac:dyDescent="0.35">
      <c r="A9">
        <v>1008</v>
      </c>
      <c r="B9" s="2">
        <v>46055</v>
      </c>
      <c r="C9" s="1" t="s">
        <v>16</v>
      </c>
      <c r="D9" t="s">
        <v>17</v>
      </c>
      <c r="E9" t="s">
        <v>11</v>
      </c>
      <c r="F9" t="s">
        <v>12</v>
      </c>
      <c r="G9">
        <v>1</v>
      </c>
      <c r="H9" s="3">
        <v>1200</v>
      </c>
      <c r="I9" s="3">
        <v>1200</v>
      </c>
    </row>
    <row r="10" spans="1:9" x14ac:dyDescent="0.35">
      <c r="A10">
        <v>1009</v>
      </c>
      <c r="B10" s="2">
        <v>46062</v>
      </c>
      <c r="C10" s="1" t="s">
        <v>20</v>
      </c>
      <c r="D10" t="s">
        <v>10</v>
      </c>
      <c r="E10" t="s">
        <v>11</v>
      </c>
      <c r="F10" t="s">
        <v>24</v>
      </c>
      <c r="G10">
        <v>4</v>
      </c>
      <c r="H10" s="3">
        <v>80</v>
      </c>
      <c r="I10" s="3">
        <v>320</v>
      </c>
    </row>
    <row r="11" spans="1:9" x14ac:dyDescent="0.35">
      <c r="A11">
        <v>1010</v>
      </c>
      <c r="B11" s="2">
        <v>46068</v>
      </c>
      <c r="C11" s="1" t="s">
        <v>22</v>
      </c>
      <c r="D11" t="s">
        <v>23</v>
      </c>
      <c r="E11" t="s">
        <v>18</v>
      </c>
      <c r="F11" t="s">
        <v>21</v>
      </c>
      <c r="G11">
        <v>1</v>
      </c>
      <c r="H11" s="3">
        <v>350</v>
      </c>
      <c r="I11" s="3">
        <v>350</v>
      </c>
    </row>
    <row r="12" spans="1:9" x14ac:dyDescent="0.35">
      <c r="A12">
        <v>1011</v>
      </c>
      <c r="B12" s="2">
        <v>46074</v>
      </c>
      <c r="C12" s="1" t="s">
        <v>9</v>
      </c>
      <c r="D12" t="s">
        <v>10</v>
      </c>
      <c r="E12" t="s">
        <v>18</v>
      </c>
      <c r="F12" t="s">
        <v>19</v>
      </c>
      <c r="G12">
        <v>1</v>
      </c>
      <c r="H12" s="3">
        <v>500</v>
      </c>
      <c r="I12" s="3">
        <v>500</v>
      </c>
    </row>
    <row r="13" spans="1:9" x14ac:dyDescent="0.35">
      <c r="A13">
        <v>1012</v>
      </c>
      <c r="B13" s="2">
        <v>46081</v>
      </c>
      <c r="C13" s="1" t="s">
        <v>13</v>
      </c>
      <c r="D13" t="s">
        <v>14</v>
      </c>
      <c r="E13" t="s">
        <v>11</v>
      </c>
      <c r="F13" t="s">
        <v>12</v>
      </c>
      <c r="G13">
        <v>1</v>
      </c>
      <c r="H13" s="3">
        <v>1200</v>
      </c>
      <c r="I13" s="3">
        <v>1200</v>
      </c>
    </row>
    <row r="14" spans="1:9" x14ac:dyDescent="0.35">
      <c r="A14">
        <v>1013</v>
      </c>
      <c r="B14" s="2">
        <v>46085</v>
      </c>
      <c r="C14" s="1" t="s">
        <v>16</v>
      </c>
      <c r="D14" t="s">
        <v>17</v>
      </c>
      <c r="E14" t="s">
        <v>11</v>
      </c>
      <c r="F14" t="s">
        <v>15</v>
      </c>
      <c r="G14">
        <v>2</v>
      </c>
      <c r="H14" s="3">
        <v>450</v>
      </c>
      <c r="I14" s="3">
        <v>900</v>
      </c>
    </row>
    <row r="15" spans="1:9" x14ac:dyDescent="0.35">
      <c r="A15">
        <v>1014</v>
      </c>
      <c r="B15" s="2">
        <v>46091</v>
      </c>
      <c r="C15" s="1" t="s">
        <v>20</v>
      </c>
      <c r="D15" t="s">
        <v>10</v>
      </c>
      <c r="E15" t="s">
        <v>18</v>
      </c>
      <c r="F15" t="s">
        <v>19</v>
      </c>
      <c r="G15">
        <v>1</v>
      </c>
      <c r="H15" s="3">
        <v>500</v>
      </c>
      <c r="I15" s="3">
        <v>500</v>
      </c>
    </row>
    <row r="16" spans="1:9" x14ac:dyDescent="0.35">
      <c r="A16">
        <v>1015</v>
      </c>
      <c r="B16" s="2">
        <v>46097</v>
      </c>
      <c r="C16" s="1" t="s">
        <v>22</v>
      </c>
      <c r="D16" t="s">
        <v>23</v>
      </c>
      <c r="E16" t="s">
        <v>11</v>
      </c>
      <c r="F16" t="s">
        <v>24</v>
      </c>
      <c r="G16">
        <v>5</v>
      </c>
      <c r="H16" s="3">
        <v>80</v>
      </c>
      <c r="I16" s="3">
        <v>400</v>
      </c>
    </row>
    <row r="17" spans="1:9" x14ac:dyDescent="0.35">
      <c r="A17">
        <v>1016</v>
      </c>
      <c r="B17" s="2">
        <v>46103</v>
      </c>
      <c r="C17" s="1" t="s">
        <v>9</v>
      </c>
      <c r="D17" t="s">
        <v>10</v>
      </c>
      <c r="E17" t="s">
        <v>18</v>
      </c>
      <c r="F17" t="s">
        <v>21</v>
      </c>
      <c r="G17">
        <v>1</v>
      </c>
      <c r="H17" s="3">
        <v>350</v>
      </c>
      <c r="I17" s="3">
        <v>350</v>
      </c>
    </row>
    <row r="18" spans="1:9" x14ac:dyDescent="0.35">
      <c r="A18">
        <v>1017</v>
      </c>
      <c r="B18" s="2">
        <v>46108</v>
      </c>
      <c r="C18" s="1" t="s">
        <v>13</v>
      </c>
      <c r="D18" t="s">
        <v>14</v>
      </c>
      <c r="E18" t="s">
        <v>11</v>
      </c>
      <c r="F18" t="s">
        <v>15</v>
      </c>
      <c r="G18">
        <v>1</v>
      </c>
      <c r="H18" s="3">
        <v>450</v>
      </c>
      <c r="I18" s="3">
        <v>450</v>
      </c>
    </row>
    <row r="19" spans="1:9" x14ac:dyDescent="0.35">
      <c r="A19">
        <v>1018</v>
      </c>
      <c r="B19" s="2">
        <v>46114</v>
      </c>
      <c r="C19" s="1" t="s">
        <v>16</v>
      </c>
      <c r="D19" t="s">
        <v>17</v>
      </c>
      <c r="E19" t="s">
        <v>18</v>
      </c>
      <c r="F19" t="s">
        <v>19</v>
      </c>
      <c r="G19">
        <v>2</v>
      </c>
      <c r="H19" s="3">
        <v>500</v>
      </c>
      <c r="I19" s="3">
        <v>1000</v>
      </c>
    </row>
    <row r="20" spans="1:9" x14ac:dyDescent="0.35">
      <c r="A20">
        <v>1019</v>
      </c>
      <c r="B20" s="2">
        <v>46120</v>
      </c>
      <c r="C20" s="1" t="s">
        <v>20</v>
      </c>
      <c r="D20" t="s">
        <v>10</v>
      </c>
      <c r="E20" t="s">
        <v>11</v>
      </c>
      <c r="F20" t="s">
        <v>12</v>
      </c>
      <c r="G20">
        <v>1</v>
      </c>
      <c r="H20" s="3">
        <v>1200</v>
      </c>
      <c r="I20" s="3">
        <v>1200</v>
      </c>
    </row>
    <row r="21" spans="1:9" x14ac:dyDescent="0.35">
      <c r="A21">
        <v>1020</v>
      </c>
      <c r="B21" s="2">
        <v>46127</v>
      </c>
      <c r="C21" s="1" t="s">
        <v>22</v>
      </c>
      <c r="D21" t="s">
        <v>23</v>
      </c>
      <c r="E21" t="s">
        <v>11</v>
      </c>
      <c r="F21" t="s">
        <v>15</v>
      </c>
      <c r="G21">
        <v>1</v>
      </c>
      <c r="H21" s="3">
        <v>450</v>
      </c>
      <c r="I21" s="3">
        <v>450</v>
      </c>
    </row>
    <row r="22" spans="1:9" x14ac:dyDescent="0.35">
      <c r="C22"/>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1D2E3-393B-462A-893F-C8CD5CF4AA81}">
  <dimension ref="A1:M37"/>
  <sheetViews>
    <sheetView topLeftCell="B7" zoomScale="97" workbookViewId="0">
      <selection activeCell="M1" sqref="M1"/>
    </sheetView>
  </sheetViews>
  <sheetFormatPr defaultRowHeight="14.5" x14ac:dyDescent="0.35"/>
  <cols>
    <col min="1" max="1" width="12.453125" bestFit="1" customWidth="1"/>
    <col min="2" max="2" width="11.54296875" bestFit="1" customWidth="1"/>
    <col min="13" max="13" width="15.1796875" bestFit="1" customWidth="1"/>
  </cols>
  <sheetData>
    <row r="1" spans="1:13" x14ac:dyDescent="0.35">
      <c r="A1" s="4" t="s">
        <v>25</v>
      </c>
      <c r="B1" t="s">
        <v>27</v>
      </c>
      <c r="M1" t="s">
        <v>32</v>
      </c>
    </row>
    <row r="2" spans="1:13" x14ac:dyDescent="0.35">
      <c r="A2" s="5" t="s">
        <v>10</v>
      </c>
      <c r="B2" s="7">
        <v>5220</v>
      </c>
      <c r="M2">
        <v>20</v>
      </c>
    </row>
    <row r="3" spans="1:13" x14ac:dyDescent="0.35">
      <c r="A3" s="5" t="s">
        <v>17</v>
      </c>
      <c r="B3" s="7">
        <v>3600</v>
      </c>
    </row>
    <row r="4" spans="1:13" x14ac:dyDescent="0.35">
      <c r="A4" s="5" t="s">
        <v>23</v>
      </c>
      <c r="B4" s="7">
        <v>1440</v>
      </c>
    </row>
    <row r="5" spans="1:13" x14ac:dyDescent="0.35">
      <c r="A5" s="5" t="s">
        <v>14</v>
      </c>
      <c r="B5" s="7">
        <v>3550</v>
      </c>
    </row>
    <row r="6" spans="1:13" x14ac:dyDescent="0.35">
      <c r="A6" s="5" t="s">
        <v>26</v>
      </c>
      <c r="B6" s="7">
        <v>13810</v>
      </c>
    </row>
    <row r="20" spans="1:2" x14ac:dyDescent="0.35">
      <c r="A20" s="4" t="s">
        <v>25</v>
      </c>
      <c r="B20" t="s">
        <v>27</v>
      </c>
    </row>
    <row r="21" spans="1:2" x14ac:dyDescent="0.35">
      <c r="A21" s="5" t="s">
        <v>19</v>
      </c>
      <c r="B21" s="6">
        <v>3500</v>
      </c>
    </row>
    <row r="22" spans="1:2" x14ac:dyDescent="0.35">
      <c r="A22" s="5" t="s">
        <v>24</v>
      </c>
      <c r="B22" s="6">
        <v>960</v>
      </c>
    </row>
    <row r="23" spans="1:2" x14ac:dyDescent="0.35">
      <c r="A23" s="5" t="s">
        <v>12</v>
      </c>
      <c r="B23" s="6">
        <v>4800</v>
      </c>
    </row>
    <row r="24" spans="1:2" x14ac:dyDescent="0.35">
      <c r="A24" s="5" t="s">
        <v>15</v>
      </c>
      <c r="B24" s="6">
        <v>3150</v>
      </c>
    </row>
    <row r="25" spans="1:2" x14ac:dyDescent="0.35">
      <c r="A25" s="5" t="s">
        <v>21</v>
      </c>
      <c r="B25" s="6">
        <v>1400</v>
      </c>
    </row>
    <row r="26" spans="1:2" x14ac:dyDescent="0.35">
      <c r="A26" s="5" t="s">
        <v>26</v>
      </c>
      <c r="B26" s="6">
        <v>13810</v>
      </c>
    </row>
    <row r="35" spans="1:2" x14ac:dyDescent="0.35">
      <c r="A35" s="4" t="s">
        <v>25</v>
      </c>
      <c r="B35" t="s">
        <v>27</v>
      </c>
    </row>
    <row r="36" spans="1:2" x14ac:dyDescent="0.35">
      <c r="A36" s="5" t="s">
        <v>18</v>
      </c>
      <c r="B36" s="6">
        <v>4900</v>
      </c>
    </row>
    <row r="37" spans="1:2" x14ac:dyDescent="0.35">
      <c r="A37" s="5" t="s">
        <v>26</v>
      </c>
      <c r="B37" s="6">
        <v>4900</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F7138-3B62-4CC7-9171-1A3C870A2398}">
  <dimension ref="A1:K6"/>
  <sheetViews>
    <sheetView tabSelected="1" zoomScale="77" workbookViewId="0">
      <selection activeCell="D5" sqref="D5:E6"/>
    </sheetView>
  </sheetViews>
  <sheetFormatPr defaultRowHeight="14.5" x14ac:dyDescent="0.35"/>
  <cols>
    <col min="1" max="1" width="28.26953125" bestFit="1" customWidth="1"/>
  </cols>
  <sheetData>
    <row r="1" spans="1:11" x14ac:dyDescent="0.35">
      <c r="A1" s="9" t="s">
        <v>28</v>
      </c>
      <c r="B1" s="10"/>
      <c r="C1" s="10"/>
      <c r="D1" s="10"/>
      <c r="E1" s="10"/>
      <c r="F1" s="10"/>
      <c r="G1" s="10"/>
      <c r="H1" s="10"/>
      <c r="I1" s="10"/>
      <c r="J1" s="10"/>
    </row>
    <row r="2" spans="1:11" x14ac:dyDescent="0.35">
      <c r="A2" s="10"/>
      <c r="B2" s="10"/>
      <c r="C2" s="10"/>
      <c r="D2" s="10"/>
      <c r="E2" s="10"/>
      <c r="F2" s="10"/>
      <c r="G2" s="10"/>
      <c r="H2" s="10"/>
      <c r="I2" s="10"/>
      <c r="J2" s="10"/>
    </row>
    <row r="4" spans="1:11" x14ac:dyDescent="0.35">
      <c r="A4" s="10" t="s">
        <v>29</v>
      </c>
      <c r="B4" s="10"/>
      <c r="D4" s="10"/>
      <c r="E4" s="10"/>
      <c r="G4" s="10" t="s">
        <v>30</v>
      </c>
      <c r="H4" s="10"/>
      <c r="J4" s="10" t="s">
        <v>31</v>
      </c>
      <c r="K4" s="10"/>
    </row>
    <row r="5" spans="1:11" x14ac:dyDescent="0.35">
      <c r="A5" s="11">
        <v>13810</v>
      </c>
      <c r="B5" s="8"/>
      <c r="D5" s="8"/>
      <c r="E5" s="8"/>
      <c r="G5" s="8" t="s">
        <v>10</v>
      </c>
      <c r="H5" s="8"/>
      <c r="J5" s="8" t="s">
        <v>12</v>
      </c>
      <c r="K5" s="8"/>
    </row>
    <row r="6" spans="1:11" x14ac:dyDescent="0.35">
      <c r="A6" s="8"/>
      <c r="B6" s="8"/>
      <c r="D6" s="8"/>
      <c r="E6" s="8"/>
      <c r="G6" s="8"/>
      <c r="H6" s="8"/>
      <c r="J6" s="8"/>
      <c r="K6" s="8"/>
    </row>
  </sheetData>
  <mergeCells count="9">
    <mergeCell ref="J5:K6"/>
    <mergeCell ref="A1:J2"/>
    <mergeCell ref="A4:B4"/>
    <mergeCell ref="A5:B6"/>
    <mergeCell ref="D4:E4"/>
    <mergeCell ref="D5:E6"/>
    <mergeCell ref="G4:H4"/>
    <mergeCell ref="G5:H6"/>
    <mergeCell ref="J4:K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Shraddha Parajuli</dc:creator>
  <cp:lastModifiedBy>Shraddha Parajuli</cp:lastModifiedBy>
  <dcterms:created xsi:type="dcterms:W3CDTF">2026-10-07T03:18:30Z</dcterms:created>
  <dcterms:modified xsi:type="dcterms:W3CDTF">2026-10-20T10:50:56Z</dcterms:modified>
</cp:coreProperties>
</file>